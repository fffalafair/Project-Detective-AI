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e-Pro\CCTV-main\"/>
    </mc:Choice>
  </mc:AlternateContent>
  <xr:revisionPtr revIDLastSave="0" documentId="13_ncr:1_{47C3481C-1D97-4B08-91FC-CA354FC60543}" xr6:coauthVersionLast="47" xr6:coauthVersionMax="47" xr10:uidLastSave="{00000000-0000-0000-0000-000000000000}"/>
  <bookViews>
    <workbookView xWindow="0" yWindow="15" windowWidth="29040" windowHeight="16440" activeTab="2" xr2:uid="{00000000-000D-0000-FFFF-FFFF00000000}"/>
  </bookViews>
  <sheets>
    <sheet name="บันทึกครั้งที่ 1" sheetId="1" r:id="rId1"/>
    <sheet name="ปัญหาที่เจอ" sheetId="3" r:id="rId2"/>
    <sheet name="ปํญหาที่เจอด้าน Dashboar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</calcChain>
</file>

<file path=xl/sharedStrings.xml><?xml version="1.0" encoding="utf-8"?>
<sst xmlns="http://schemas.openxmlformats.org/spreadsheetml/2006/main" count="83" uniqueCount="79">
  <si>
    <t>New Model Name</t>
  </si>
  <si>
    <t>Dataset Count</t>
  </si>
  <si>
    <t>imgsz (Train ➔ Export)</t>
  </si>
  <si>
    <t>Key Hyperparameters</t>
  </si>
  <si>
    <t>Data Augmentations</t>
  </si>
  <si>
    <t>Max Precision</t>
  </si>
  <si>
    <t>Max Recall</t>
  </si>
  <si>
    <t>Max mAP@50</t>
  </si>
  <si>
    <t>Min Box Loss</t>
  </si>
  <si>
    <t>Test Video</t>
  </si>
  <si>
    <t>Note</t>
  </si>
  <si>
    <t>คอลัมน์ 1</t>
  </si>
  <si>
    <t>640px-2261DS-YOLO11s_BootsFocus_150Epochs</t>
  </si>
  <si>
    <t>2,261 images (Train 1,582 / Val 452 / Test 227)</t>
  </si>
  <si>
    <t>640 ➔ 640</t>
  </si>
  <si>
    <t>epochs=150, batch=16, device='0' (RTX 3050 Ti), optimizer='auto', lr0=0.01, lrf=0.01, box=7.5, cls=0.5, dfl=1.5</t>
  </si>
  <si>
    <t>scale=0.5, fliplr=0.5, translate=0.1, hsv_s=0.7, hsv_v=0.4, mosaic=1.0, close_mosaic=10, erasing=0.4</t>
  </si>
  <si>
    <t>result_man_walk_experiment.mp4 (https://youtu.be/Mol0lrRBy3g)</t>
  </si>
  <si>
    <t>ตรวจจับ Person แม่นยำ 100% ทุกเฟรม (Conf &gt; 0.85), มี False Positive คลาส Boots เล็กน้อยโดยตรวจจับรองเท้าผ้าใบสีขาวหนา (Sneakers) เป็น Boots (Conf ~0.44-0.52)</t>
  </si>
  <si>
    <t>False Positive (Boots) / True Positive สูง (Person)</t>
  </si>
  <si>
    <t>640px-2261DS-YOLO11s_InitialTest_2Epochs</t>
  </si>
  <si>
    <t>epochs=2, batch=16, device='0' (RTX 3050 Ti), optimizer='auto', lr0=0.01</t>
  </si>
  <si>
    <t>scale=0.5, fliplr=0.5, translate=0.1, mosaic=1.0</t>
  </si>
  <si>
    <t>result_man_walk_experiment.mp4</t>
  </si>
  <si>
    <t>รันรอบทดสอบเบื้องต้น (Initial pipeline test) จำนวน 2 epochs ยังไม่ลู่เข้า (Underfitting) ความแม่นยำต่ำและตรวจจับหลุดเฟรม</t>
  </si>
  <si>
    <t>False Negative สูง</t>
  </si>
  <si>
    <t>ผลการรัน</t>
  </si>
  <si>
    <t>https://drive.google.com/file/d/1PFhrwX7Pk42MgV6zwbhZKRqZVTOi6efp/view?usp=sharing</t>
  </si>
  <si>
    <t>อาการ</t>
  </si>
  <si>
    <t>วิธีแก้</t>
  </si>
  <si>
    <t>1. ข้อมูลป้ายกำกับ (Labels) และสัดส่วนข้อมูลไม่สมบูรณ์</t>
  </si>
  <si>
    <t>ปัญหาที่เจอ</t>
  </si>
  <si>
    <t>1. ปัญหาด้านชุดข้อมูลและการเทรนโมเดล (Dataset &amp; Training)</t>
  </si>
  <si>
    <t>2. ข้อจำกัดของหน่วยความจำการ์ดจอบนโน้ตบุ๊ก (VRAM Limitation)</t>
  </si>
  <si>
    <t>3. โฟลเดอร์ผลลัพธ์การเทรนถูกเปลี่ยนชื่ออัตโนมัติ (Dynamic Paths)</t>
  </si>
  <si>
    <t>2. ปัญหาด้านการดึงข้อมูลวิดีโอสตรีมจาก YouTube (Video Streaming &amp; yt-dlp)</t>
  </si>
  <si>
    <t>1. ลิงก์วิดีโอต้นทางถูกลบหรือปิดเป็นส่วนตัว (Video Unavailable)</t>
  </si>
  <si>
    <t>2. ไม่มี JavaScript Runtime และ Format Stream ไม่พร้อมใช้งาน</t>
  </si>
  <si>
    <t>3. ปัญหาด้านการแสดงผล (Display &amp; GUI)</t>
  </si>
  <si>
    <t>1. หน้าต่างแสดงผลล้นจอภาพ (Display Window Over-scaling)</t>
  </si>
  <si>
    <t>4. ปัญหาด้านการรองรับลิงก์รูปภาพ (Image URLs &amp; Search Engines)</t>
  </si>
  <si>
    <t>1. ลิงก์รูปภาพจาก Google Search ไม่มีนามสกุลไฟล์กำกับ</t>
  </si>
  <si>
    <t>2. โปรแกรมค้างในโหมด Background เมื่อรันคำสั่งตรวจจับภาพนิ่ง</t>
  </si>
  <si>
    <t>5. ปัญหาด้านการบันทึกผลการทดลองและการเข้ารหัสภาษา (Logging &amp; Encoding)</t>
  </si>
  <si>
    <t>1. เกิด UnicodeEncodeError (charmap) เมื่อบันทึกผลภาษาไทยบน Windows</t>
  </si>
  <si>
    <t>2. เกิด False Positive ระหว่าง "รองเท้าผ้าใบสีขาวทรงหนา" กับ "รองเท้าเซฟตี้"</t>
  </si>
  <si>
    <t>ในคลิปทดสอบ https://youtu.be/Mol0lrRBy3g คนเดินสวมรองเท้าผ้าใบแฟชั่นสีขาวพื้นหนา (Chunky Sneakers) แต่โมเดลตรวจจับเป็น Boots (ความมั่นใจ 0.44 - 0.52)</t>
  </si>
  <si>
    <r>
      <t>บันทึกเคสนี้ลงในตารางผลการทดลองเป็นประเภท False Positive (Boots) อย่างชัดเจนตามหลักวิศวกรรม เพื่อนำข้อมูลภาพรองเท้าผ้าใบเหล่านี้ไปทำ Hard Negative Mining (เพิ่มภาพรองเท้าผ้าใบในคลาส </t>
    </r>
    <r>
      <rPr>
        <sz val="11"/>
        <color theme="1"/>
        <rFont val="Consolas"/>
        <family val="3"/>
      </rPr>
      <t>no_boots</t>
    </r>
    <r>
      <rPr>
        <sz val="11"/>
        <color theme="1"/>
        <rFont val="Segoe UI"/>
        <family val="2"/>
      </rPr>
      <t>) ในการเทรนรอบถัดไปเพื่อแก้ปัญหา</t>
    </r>
  </si>
  <si>
    <t>ขณะส่งออกตารางบันทึกผลการทดลอง ตัวแปลภาษา Python บน Windows terminal (cp1252) ไม่รองรับตัวอักษรภาษาไทยในพาธและข้อความ ทำให้ script crash</t>
  </si>
  <si>
    <t>เพิ่มคำสั่ง sys.stdout.reconfigure(encoding='utf-8') และตั้งค่าการบันทึกไฟล์ CSV เป็นแบบ utf-8-sig (UTF-8 with BOM) เพื่อให้เปิดใน Microsoft Excel และ Google Sheet ภาษาไทยได้ทันทีโดยสระไม่เพี้ยน</t>
  </si>
  <si>
    <t>เมื่อสแกนภาพนิ่ง คำสั่ง cv2.waitKey(0) จะรอให้ผู้ใช้กดปุ่ม แต่เมื่อรันเป็น Background Process ที่ไม่มีการกดคีย์บอร์ด จะทำให้โปรเซสค้าง</t>
  </si>
  <si>
    <t>เมื่อผู้ใช้นำลิงก์ภาพย่อของกูเกิล (https://encrypted-tbn0.gstatic.com/images?q=tbn:...) มาใส่ ระบบไม่พบคำลงท้าย .jpg หรือ .png จึงเข้าใจผิดคิดว่าเป็นวิดีโอและส่งไปเปิดด้วย YouTube player จนเกิด error</t>
  </si>
  <si>
    <t>ปรับเงื่อนไข is_image_url() ให้รองรับลิงก์ภาพย่อ CDN ของ Google (gstatic.com/images, q=tbn) พร้อมทั้งเพิ่มฟังก์ชัน download_image() ที่อ่านข้อมูลไบนารีผ่าน Memory ด้วย urllib และแปลงเป็นภาพด้วย cv2.imdecode() โดยตรง</t>
  </si>
  <si>
    <r>
      <rPr>
        <sz val="11"/>
        <color theme="1"/>
        <rFont val="Segoe UI"/>
        <family val="2"/>
      </rPr>
      <t>ดักจับ Exception ของระบบ Headless / CLI และตั้งค่า timeout เพื่อให้โปรเซสเซฟภาพ </t>
    </r>
    <r>
      <rPr>
        <sz val="11"/>
        <color theme="1"/>
        <rFont val="Consolas"/>
        <family val="3"/>
      </rPr>
      <t>output_safety_image.png</t>
    </r>
    <r>
      <rPr>
        <sz val="11"/>
        <color theme="1"/>
        <rFont val="Segoe UI"/>
        <family val="2"/>
      </rPr>
      <t> สำเร็จโดยไม่ค้างระบบ</t>
    </r>
  </si>
  <si>
    <t>วิดีโอต้นฉบับมีความละเอียดสูงระดับ Full HD (1920x1080) เมื่อสั่ง cv2.imshow() หน้าต่างป๊อปอัปจะขยายใหญ่จนล้นจอโน้ตบุ๊ก ทำให้มองไม่เห็นขอบล่างและไม่สามารถกดปิดได้</t>
  </si>
  <si>
    <t>ปรับเพิ่มฟังก์ชันย่อขนาดภาพสำหรับ Preview โดยเฉพาะ ให้มีความกว้างคงที่ 800 พิกเซล (รักษาสัดส่วนเดิม) ก่อนแสดงผลบนหน้าจอ ในขณะที่ไฟล์วิดีโอที่บันทึกลงเครื่องยังคงเซฟด้วยความละเอียดสูง 1080p เช่นเดิม</t>
  </si>
  <si>
    <t>YouTube มีการเปลี่ยนแปลงระบบความปลอดภัย ทำให้ yt-dlp ที่ไม่มี JS runtime (node/deno) ในเครื่อง ไม่สามารถดึงสตรีมที่มีภาพและเสียงรวมกัน (best[ext=mp4]/best) ได้ และแจ้งเตือน Requested format is not available</t>
  </si>
  <si>
    <t>ลิงก์วิดีโอแรกที่เตรียมไว้ (5rT8845Zq30) ถูกลบออกจาก YouTube ทำให้โปรแกรมขึ้น error Video unavailable และหยุดทำงาน</t>
  </si>
  <si>
    <t>อัปเดตลิงก์ในระบบมาใช้คลิปสาธารณะที่เปิดใช้งานได้จริง (ทั้งคลิปไซต์งานก่อสร้าง, ทางเข้าโรงงาน, และคลิปคนเดิน Mol0lrRBy3g)</t>
  </si>
  <si>
    <t>ปรับฟังก์ชัน get_youtube_stream() ให้ทำ Format Fallback Ladder ไล่ระดับฟอร์แมตสำรอง โดยเน้นดึงเฉพาะ Video Stream (เช่น bestvideo[ext=mp4], 136, 134) เนื่องจาก OpenCV ต้องการเฉพาะภาพวิดีโอไปวิเคราะห์ ไม่จำเป็นต้องใช้เสียง ทำให้ดึงภาพได้เสถียร 100%</t>
  </si>
  <si>
    <t>เมื่อรันเทรนซ้ำ ระบบ Ultralytics จะสร้างโฟลเดอร์ใหม่ที่มีตัวเลขต่อท้าย เช่น yolo11s_safety_boots2, yolo11s_safety_boots3 ทำให้โค้ดที่ฟิกพาธตายตัวหาโมเดล best.pt ไม่เจอ</t>
  </si>
  <si>
    <t>น้ตบุ๊กใช้การ์ดจอ NVIDIA RTX 3050 Ti Laptop GPU (4GB VRAM) ซึ่งการเทรนโมเดลใหม่อย่าง YOLO11s ถึง 150 รอบ เสี่ยงต่อการเกิดปัญหาหน่วยความจำล้น (CUDA Out of Memory)</t>
  </si>
  <si>
    <t>ไฟล์ภาพและ Text Label เดิมอาจมีพิกัดกล่องเพี้ยน หรือภาพที่ไม่มีป้ายกำกับ ซึ่งหากนำไปเทรนตรงๆ จะทำให้ YOLO เกิดข้อผิดพลาดหรือลดทอนความแม่นยำ</t>
  </si>
  <si>
    <t>ปรับฟังก์ชัน get_latest_weights() ให้ใช้การค้นหาแบบ Dynamic Pattern (glob) และเรียงลำดับเวลาแก้ไขล่าสุด (mtime) เพื่อให้เลือกค่าน้ำหนักตัวที่ดีและล่าสุดเสมอโดยอัตโนมัติ</t>
  </si>
  <si>
    <t>ปรับจูน Hyperparameters โดยใช้ batch=16, เปิดใช้ Mixed Precision (amp=True), และใช้ขนาดภาพ 640x640 ทำให้เทรนได้ต่อเนื่อง 150 รอบอย่างราบรื่นโดยไม่หลุด ใช้เวลารวมประมาณ 3.48 ชั่วโมง</t>
  </si>
  <si>
    <t>เขียนสคริปต์ split_and_clean_dataset.py เพื่อตรวจสอบความถูกต้องของ Bounding Box คัดกรองไฟล์ที่เสียหายออก แล้วแบ่งสัดส่วนอย่างแม่นยำเป็น Train 70% (1,582 ภาพ), Val 20% (452 ภาพ), Test 10% (227 ภาพ) รวม 2,261 ภาพ</t>
  </si>
  <si>
    <t>เป้าหมาย</t>
  </si>
  <si>
    <t>อยากให้กล้อง webcam จาก laptop ของเพื่อน (คนละเน็ต/คนละบ้านกัน) ไปโผล่ในหน้า dashboard CCTV ที่รันด้วย docker บนเครื่อง</t>
  </si>
  <si>
    <t xml:space="preserve">1. ให้เพื่อนรัน ffmpeg เปิดกล้องเป็น RTSP server แบบ listen ที่พอร์ต 8554 </t>
  </si>
  <si>
    <t>2. ติดตั้ง Tailscale ทั้งสองเครื่องเพื่อให้เห็น IP กันข้ามเน็ตได้ แต่ทดสอบด้วย VLC/Test-NetConnection แล้วต่อพอร์ต 8554 ไม่ติดอยู่ดี แม้เปิด Windows Firewall ให้แล้ว</t>
  </si>
  <si>
    <t>สาเหตุ</t>
  </si>
  <si>
    <t>1.  ffmpeg ที่รันค้างไว้หลุด/ตายไปเรื่อยๆ ระหว่างทดสอบ ทำให้ไม่มีอะไร listen อยู่ปลายทาง ต้องพึ่งให้เพื่อนเปิด cmd ค้างตลอดเวลา + แก้ firewall เอง</t>
  </si>
  <si>
    <t>2. อีกเครื่องให้ทำการลองเช็คสถานะของ Test-NetConnection ดังนี้</t>
  </si>
  <si>
    <t>1. ให้เพื่อนโหลด OBS มาแล้วใส่ Test-NetConnection 100.93.199.122 -Port 1935 ตามด้วยชื่อ cam1 เพื่อ ping เข้าหาอีกเครื่องแทน</t>
  </si>
  <si>
    <t xml:space="preserve">   2.1 tailscale ip -4</t>
  </si>
  <si>
    <t xml:space="preserve">   2.2 Test-NetConnection 127.0.0.1 -Port 1935</t>
  </si>
  <si>
    <t xml:space="preserve">   2.3 Test-NetConnection 100.93.199.122 -Port 1935</t>
  </si>
  <si>
    <t>วันที่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</si>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</sst>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u/>
      <sz val="11"/>
      <color theme="10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color theme="1"/>
      <name val="Segoe UI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mbria"/>
      <family val="2"/>
      <scheme val="major"/>
    </font>
    <font>
      <sz val="11"/>
      <color theme="1"/>
      <name val="Consolas"/>
      <family val="3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8"/>
      <color theme="1"/>
      <name val="TH Sarabun New"/>
      <family val="2"/>
    </font>
    <font>
      <sz val="18"/>
      <color rgb="FF9C0006"/>
      <name val="Calibri"/>
      <family val="2"/>
      <scheme val="minor"/>
    </font>
    <font>
      <b/>
      <sz val="18"/>
      <color rgb="FF006100"/>
      <name val="TH Sarabun New"/>
      <family val="2"/>
    </font>
    <font>
      <b/>
      <sz val="18"/>
      <color theme="3"/>
      <name val="TH Sarabun New"/>
      <family val="2"/>
    </font>
    <font>
      <sz val="11"/>
      <color rgb="FF9C5700"/>
      <name val="Calibri"/>
      <family val="2"/>
      <scheme val="minor"/>
    </font>
    <font>
      <b/>
      <sz val="18"/>
      <color rgb="FF9C5700"/>
      <name val="TH Sarabun New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6" fillId="6" borderId="0" applyNumberFormat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right" vertical="center"/>
    </xf>
    <xf numFmtId="0" fontId="3" fillId="0" borderId="2" xfId="1" applyFill="1" applyBorder="1" applyAlignment="1">
      <alignment vertical="center" wrapText="1"/>
    </xf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14" fontId="12" fillId="0" borderId="5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/>
    </xf>
    <xf numFmtId="0" fontId="17" fillId="6" borderId="4" xfId="5" applyFont="1" applyBorder="1" applyAlignment="1">
      <alignment horizontal="center" vertical="center"/>
    </xf>
    <xf numFmtId="0" fontId="13" fillId="5" borderId="4" xfId="4" applyFont="1" applyBorder="1" applyAlignment="1">
      <alignment horizontal="center" vertical="center"/>
    </xf>
    <xf numFmtId="0" fontId="14" fillId="4" borderId="4" xfId="3" applyFont="1" applyBorder="1" applyAlignment="1">
      <alignment horizontal="center" vertical="center"/>
    </xf>
  </cellXfs>
  <cellStyles count="6">
    <cellStyle name="Bad" xfId="4" builtinId="27"/>
    <cellStyle name="Good" xfId="3" builtinId="26"/>
    <cellStyle name="Heading 1" xfId="2" builtinId="16"/>
    <cellStyle name="Hyperlink" xfId="1" builtinId="8"/>
    <cellStyle name="Neutral" xfId="5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137160</xdr:colOff>
      <xdr:row>21</xdr:row>
      <xdr:rowOff>137160</xdr:rowOff>
    </xdr:from>
    <xdr:to>
      <xdr:col>12</xdr:col>
      <xdr:colOff>3963061</xdr:colOff>
      <xdr:row>35</xdr:row>
      <xdr:rowOff>38494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BCF089FB-8E1B-D1D6-5A85-8C0C744A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07960" y="5029200"/>
          <a:ext cx="3825901" cy="2354974"/>
        </a:xfrm>
        <a:prstGeom prst="rect">
          <a:avLst/>
        </a:prstGeom>
      </xdr:spPr>
    </xdr:pic>
    <xdr:clientData/>
  </xdr:twoCellAnchor>
  <xdr:twoCellAnchor editAs="oneCell">
    <xdr:from>
      <xdr:col>12</xdr:col>
      <xdr:colOff>60960</xdr:colOff>
      <xdr:row>36</xdr:row>
      <xdr:rowOff>46210</xdr:rowOff>
    </xdr:from>
    <xdr:to>
      <xdr:col>12</xdr:col>
      <xdr:colOff>4541520</xdr:colOff>
      <xdr:row>46</xdr:row>
      <xdr:rowOff>48279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F14637C1-B2C5-3E74-5EFC-D5C6F60B3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31760" y="7567150"/>
          <a:ext cx="4480560" cy="175466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30481</xdr:colOff>
      <xdr:row>3</xdr:row>
      <xdr:rowOff>15241</xdr:rowOff>
    </xdr:from>
    <xdr:to>
      <xdr:col>12</xdr:col>
      <xdr:colOff>2014861</xdr:colOff>
      <xdr:row>21</xdr:row>
      <xdr:rowOff>7620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A154AC3E-FCAA-96F4-7F31-8C6FE4085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01281" y="1752601"/>
          <a:ext cx="1984380" cy="3147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file/d/1PFhrwX7Pk42MgV6zwbhZKRqZVTOi6efp/view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opLeftCell="L1" workbookViewId="0">
      <selection activeCell="K21" sqref="K21"/>
    </sheetView>
  </sheetViews>
  <sheetFormatPr defaultRowHeight="15" x14ac:dyDescent="0.25"/>
  <cols>
    <col min="1" max="1" width="45" customWidth="1"/>
    <col min="2" max="2" width="50" customWidth="1"/>
    <col min="3" max="3" width="26" customWidth="1"/>
    <col min="4" max="5" width="50" customWidth="1"/>
    <col min="6" max="6" width="17" customWidth="1"/>
    <col min="7" max="8" width="15" customWidth="1"/>
    <col min="9" max="9" width="16" customWidth="1"/>
    <col min="10" max="12" width="50" customWidth="1"/>
    <col min="13" max="13" width="76" customWidth="1"/>
  </cols>
  <sheetData>
    <row r="1" spans="1:13" ht="28.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26</v>
      </c>
    </row>
    <row r="2" spans="1:13" ht="55.1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0.91369999999999996</v>
      </c>
      <c r="G2" s="3">
        <v>0.74039999999999995</v>
      </c>
      <c r="H2" s="3">
        <v>0.79300000000000004</v>
      </c>
      <c r="I2" s="3">
        <v>1.1648000000000001</v>
      </c>
      <c r="J2" s="2" t="s">
        <v>17</v>
      </c>
      <c r="K2" s="2" t="s">
        <v>18</v>
      </c>
      <c r="L2" s="2" t="s">
        <v>19</v>
      </c>
      <c r="M2" s="4" t="s">
        <v>27</v>
      </c>
    </row>
    <row r="3" spans="1:13" ht="55.15" customHeight="1" x14ac:dyDescent="0.25">
      <c r="A3" s="2" t="s">
        <v>20</v>
      </c>
      <c r="B3" s="2" t="s">
        <v>13</v>
      </c>
      <c r="C3" s="2" t="s">
        <v>14</v>
      </c>
      <c r="D3" s="2" t="s">
        <v>21</v>
      </c>
      <c r="E3" s="2" t="s">
        <v>22</v>
      </c>
      <c r="F3" s="3">
        <v>0.68669999999999998</v>
      </c>
      <c r="G3" s="3">
        <v>0.47249999999999998</v>
      </c>
      <c r="H3" s="3">
        <v>0.49170000000000003</v>
      </c>
      <c r="I3" s="3">
        <v>1.8595999999999999</v>
      </c>
      <c r="J3" s="2" t="s">
        <v>23</v>
      </c>
      <c r="K3" s="2" t="s">
        <v>24</v>
      </c>
      <c r="L3" s="2" t="s">
        <v>25</v>
      </c>
    </row>
  </sheetData>
  <hyperlinks>
    <hyperlink ref="M2" r:id="rId1" xr:uid="{6A8CE3E4-F104-4CC7-9051-4CEB66D079CF}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88DF5-79C6-4747-A63D-2B508559A529}">
  <dimension ref="A1:C20"/>
  <sheetViews>
    <sheetView workbookViewId="0">
      <selection activeCell="A34" sqref="A34"/>
    </sheetView>
  </sheetViews>
  <sheetFormatPr defaultRowHeight="15" x14ac:dyDescent="0.25"/>
  <cols>
    <col min="1" max="1" width="100.7109375" customWidth="1"/>
    <col min="2" max="3" width="200.7109375" customWidth="1"/>
  </cols>
  <sheetData>
    <row r="1" spans="1:3" ht="23.25" x14ac:dyDescent="0.35">
      <c r="A1" s="5" t="s">
        <v>31</v>
      </c>
      <c r="B1" s="5" t="s">
        <v>28</v>
      </c>
      <c r="C1" s="5" t="s">
        <v>29</v>
      </c>
    </row>
    <row r="2" spans="1:3" ht="21" x14ac:dyDescent="0.35">
      <c r="A2" s="7" t="s">
        <v>32</v>
      </c>
    </row>
    <row r="3" spans="1:3" x14ac:dyDescent="0.25">
      <c r="A3" t="s">
        <v>30</v>
      </c>
      <c r="B3" t="s">
        <v>62</v>
      </c>
      <c r="C3" t="s">
        <v>65</v>
      </c>
    </row>
    <row r="4" spans="1:3" ht="16.5" x14ac:dyDescent="0.3">
      <c r="A4" s="6" t="s">
        <v>33</v>
      </c>
      <c r="B4" t="s">
        <v>61</v>
      </c>
      <c r="C4" t="s">
        <v>64</v>
      </c>
    </row>
    <row r="5" spans="1:3" x14ac:dyDescent="0.25">
      <c r="A5" t="s">
        <v>34</v>
      </c>
      <c r="B5" t="s">
        <v>60</v>
      </c>
      <c r="C5" t="s">
        <v>63</v>
      </c>
    </row>
    <row r="7" spans="1:3" ht="21" x14ac:dyDescent="0.35">
      <c r="A7" s="7" t="s">
        <v>35</v>
      </c>
    </row>
    <row r="8" spans="1:3" x14ac:dyDescent="0.25">
      <c r="A8" t="s">
        <v>36</v>
      </c>
      <c r="B8" t="s">
        <v>57</v>
      </c>
      <c r="C8" t="s">
        <v>58</v>
      </c>
    </row>
    <row r="9" spans="1:3" x14ac:dyDescent="0.25">
      <c r="A9" t="s">
        <v>37</v>
      </c>
      <c r="B9" t="s">
        <v>56</v>
      </c>
      <c r="C9" t="s">
        <v>59</v>
      </c>
    </row>
    <row r="11" spans="1:3" ht="20.25" x14ac:dyDescent="0.25">
      <c r="A11" s="8" t="s">
        <v>38</v>
      </c>
    </row>
    <row r="12" spans="1:3" x14ac:dyDescent="0.25">
      <c r="A12" t="s">
        <v>39</v>
      </c>
      <c r="B12" t="s">
        <v>54</v>
      </c>
      <c r="C12" t="s">
        <v>55</v>
      </c>
    </row>
    <row r="14" spans="1:3" ht="21" x14ac:dyDescent="0.35">
      <c r="A14" s="7" t="s">
        <v>40</v>
      </c>
    </row>
    <row r="15" spans="1:3" x14ac:dyDescent="0.25">
      <c r="A15" t="s">
        <v>41</v>
      </c>
      <c r="B15" t="s">
        <v>51</v>
      </c>
      <c r="C15" t="s">
        <v>52</v>
      </c>
    </row>
    <row r="16" spans="1:3" ht="16.5" x14ac:dyDescent="0.3">
      <c r="A16" t="s">
        <v>42</v>
      </c>
      <c r="B16" t="s">
        <v>50</v>
      </c>
      <c r="C16" s="6" t="s">
        <v>53</v>
      </c>
    </row>
    <row r="18" spans="1:3" ht="21" x14ac:dyDescent="0.35">
      <c r="A18" s="7" t="s">
        <v>43</v>
      </c>
    </row>
    <row r="19" spans="1:3" x14ac:dyDescent="0.25">
      <c r="A19" t="s">
        <v>44</v>
      </c>
      <c r="B19" t="s">
        <v>48</v>
      </c>
      <c r="C19" t="s">
        <v>49</v>
      </c>
    </row>
    <row r="20" spans="1:3" ht="16.5" x14ac:dyDescent="0.3">
      <c r="A20" t="s">
        <v>45</v>
      </c>
      <c r="B20" t="s">
        <v>46</v>
      </c>
      <c r="C20" s="6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1767-C408-4DEE-837D-47BEDF2E8F43}">
  <dimension ref="A1:E7"/>
  <sheetViews>
    <sheetView tabSelected="1" workbookViewId="0">
      <selection activeCell="C3" sqref="C3:C6"/>
    </sheetView>
  </sheetViews>
  <sheetFormatPr defaultColWidth="86.28515625" defaultRowHeight="57" customHeight="1" x14ac:dyDescent="0.25"/>
  <cols>
    <col min="1" max="1" width="34" style="9" customWidth="1"/>
    <col min="2" max="2" width="86.28515625" style="9"/>
    <col min="3" max="4" width="87.5703125" style="9" customWidth="1"/>
    <col min="5" max="16384" width="86.28515625" style="9"/>
  </cols>
  <sheetData>
    <row r="1" spans="1:5" ht="33" customHeight="1" x14ac:dyDescent="0.25">
      <c r="A1" s="18" t="s">
        <v>77</v>
      </c>
      <c r="B1" s="19" t="s">
        <v>66</v>
      </c>
      <c r="C1" s="20" t="s">
        <v>31</v>
      </c>
      <c r="D1" s="20" t="s">
        <v>70</v>
      </c>
      <c r="E1" s="21" t="s">
        <v>29</v>
      </c>
    </row>
    <row r="2" spans="1:5" ht="57" customHeight="1" x14ac:dyDescent="0.25">
      <c r="A2" s="15">
        <f ca="1">TODAY()</f>
        <v>46272</v>
      </c>
      <c r="B2" s="12" t="s">
        <v>67</v>
      </c>
      <c r="C2" s="10" t="s">
        <v>68</v>
      </c>
      <c r="D2" s="12" t="s">
        <v>71</v>
      </c>
      <c r="E2" s="10" t="s">
        <v>73</v>
      </c>
    </row>
    <row r="3" spans="1:5" ht="57" customHeight="1" x14ac:dyDescent="0.25">
      <c r="A3" s="16"/>
      <c r="B3" s="13"/>
      <c r="C3" s="12" t="s">
        <v>69</v>
      </c>
      <c r="D3" s="13"/>
      <c r="E3" s="11" t="s">
        <v>72</v>
      </c>
    </row>
    <row r="4" spans="1:5" ht="57" customHeight="1" x14ac:dyDescent="0.25">
      <c r="A4" s="16"/>
      <c r="B4" s="13"/>
      <c r="C4" s="13"/>
      <c r="D4" s="13"/>
      <c r="E4" s="11" t="s">
        <v>74</v>
      </c>
    </row>
    <row r="5" spans="1:5" ht="57" customHeight="1" x14ac:dyDescent="0.25">
      <c r="A5" s="16"/>
      <c r="B5" s="13"/>
      <c r="C5" s="13"/>
      <c r="D5" s="13"/>
      <c r="E5" s="11" t="s">
        <v>75</v>
      </c>
    </row>
    <row r="6" spans="1:5" ht="57" customHeight="1" x14ac:dyDescent="0.25">
      <c r="A6" s="17"/>
      <c r="B6" s="14"/>
      <c r="C6" s="14"/>
      <c r="D6" s="14"/>
      <c r="E6" s="11" t="s">
        <v>76</v>
      </c>
    </row>
    <row r="7" spans="1:5" ht="57" customHeight="1" x14ac:dyDescent="0.25">
      <c r="A7" s="9" t="s">
        <v>78</v>
      </c>
    </row>
  </sheetData>
  <mergeCells count="4">
    <mergeCell ref="D2:D6"/>
    <mergeCell ref="C3:C6"/>
    <mergeCell ref="B2:B6"/>
    <mergeCell ref="A2:A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บันทึกครั้งที่ 1</vt:lpstr>
      <vt:lpstr>ปัญหาที่เจอ</vt:lpstr>
      <vt:lpstr>ปํญหาที่เจอด้าน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ชลากร  ศรีบุญเรือง</cp:lastModifiedBy>
  <dcterms:created xsi:type="dcterms:W3CDTF">2026-09-05T17:40:39Z</dcterms:created>
  <dcterms:modified xsi:type="dcterms:W3CDTF">2026-09-07T15:10:00Z</dcterms:modified>
</cp:coreProperties>
</file>