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189" documentId="13_ncr:1_{C66B664E-3239-4B9F-9A1E-B8CBBB2EB541}" xr6:coauthVersionLast="47" xr6:coauthVersionMax="47" xr10:uidLastSave="{AB582366-B7CA-4A60-8A15-D62CD7B3C78E}"/>
  <bookViews>
    <workbookView xWindow="-120" yWindow="-120" windowWidth="29040" windowHeight="16440" xr2:uid="{00000000-000D-0000-FFFF-FFFF00000000}"/>
  </bookViews>
  <sheets>
    <sheet name="รายการวัสดุอุปกรณ์ (ชุดที่ 1)" sheetId="2" r:id="rId1"/>
    <sheet name="รายการวัสดุอุปกรณ์ (ชุดที่ 2)" sheetId="3" r:id="rId2"/>
    <sheet name="รายการวัสดุอุปกรณ์ (ชุดที่ 3)" sheetId="1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6" i="3"/>
  <c r="F6" i="1"/>
  <c r="F5" i="3"/>
  <c r="F2" i="3"/>
  <c r="F4" i="3"/>
  <c r="F3" i="3"/>
  <c r="F5" i="1"/>
  <c r="F10" i="2"/>
  <c r="F9" i="2"/>
  <c r="F8" i="2"/>
  <c r="F7" i="2"/>
  <c r="F6" i="2"/>
  <c r="F5" i="2"/>
  <c r="F4" i="2"/>
  <c r="F3" i="2"/>
  <c r="F2" i="2"/>
  <c r="F11" i="2" s="1"/>
  <c r="F10" i="1"/>
  <c r="F9" i="1"/>
  <c r="F8" i="1"/>
  <c r="F7" i="1"/>
  <c r="F4" i="1"/>
  <c r="F3" i="1"/>
  <c r="F2" i="1"/>
  <c r="F12" i="2" l="1"/>
  <c r="F13" i="2" s="1"/>
  <c r="F11" i="1"/>
  <c r="F12" i="1" s="1"/>
  <c r="F13" i="1" s="1"/>
  <c r="F10" i="3"/>
  <c r="F8" i="3"/>
  <c r="F9" i="3"/>
</calcChain>
</file>

<file path=xl/sharedStrings.xml><?xml version="1.0" encoding="utf-8"?>
<sst xmlns="http://schemas.openxmlformats.org/spreadsheetml/2006/main" count="114" uniqueCount="53">
  <si>
    <t>ลำดับ</t>
  </si>
  <si>
    <t>รายการ</t>
  </si>
  <si>
    <t>จำนวน</t>
  </si>
  <si>
    <t>หน่วย</t>
  </si>
  <si>
    <t>ราคา/หน่วย (บาท)</t>
  </si>
  <si>
    <t>รวม (บาท)</t>
  </si>
  <si>
    <t>ลิ้งราคาสินค้า</t>
  </si>
  <si>
    <t xml:space="preserve">Webcam Logitech C270 </t>
  </si>
  <si>
    <t>ตัว</t>
  </si>
  <si>
    <t>https://www.bnn.in.th/th/p/logitech-webcam-c270-097855070753_wd15qz</t>
  </si>
  <si>
    <t>microSD Card / USB Flash Drive 64GB (สำรองข้อมูล/ติดตั้งซอฟต์แวร์)</t>
  </si>
  <si>
    <t>ใบ</t>
  </si>
  <si>
    <t>https://www.lazada.co.th/products/hot-usb-flash-drive-dt101-micro-sd-i5818201519-s24773809626.html?</t>
  </si>
  <si>
    <t xml:space="preserve">UGREEN ฮาร์ดไดรฟ์ภายนอก SSD แบบพกพา USB 3.0 </t>
  </si>
  <si>
    <t>https://shopee.co.th/product/395615558/52906716490?gads_t_sig=gqRjZGVrxHCFomtpsTE0MjUxOnRzc19zZGtfa2V5omt20QABpGFsZ2_SAAAAZKNkZWvAomN0xEAAAAAM_NxfHGgeczprZR4Q8tPoOfvwhbtN63JlB369xGJA1mbqBWuW2sVWxQjSJT_xT_mbG0_W5kumedB_GGTjqmNpcGhlcnRleHTEcQAAAAwP5rvfLa3BSbJmuMCJrWLfa-nSl5bysyBnizs200KHEFvM8xsXAF9zkVt326GAcURdox0GFui8awMtrG0jcPzE8vTcArxf0L_okEqAqbU_8irwIiI81i7vYy5WNbd-sz1NzZqtGL2v64OIWEiA&amp;gad_source=1&amp;gad_campaignid=23294779400&amp;gbraid=0AAAAADPpYO2yKw-sttBJ9VdTftu6WJRq3&amp;gclid=Cj0KCQjwjvfSBhDpARIsAEiOpSt4z6f7VhNuQW6NsOm0DitQZezr_6fZBKZI84ynut5zagWDj_6kVJoaAqlyEALw_wcB</t>
  </si>
  <si>
    <t>สวิตช์ฮับ TP-Link Network TL-SG108 8-Port Gigabit Switch</t>
  </si>
  <si>
    <t>https://www.bnn.in.th/th/p/network/lan-and-switch-hub/switch-hub/tp-link-tl-sg108-8-port-101001000mbps-desktop-switch-6935364021153-15_zv2xkr?ref=category</t>
  </si>
  <si>
    <t>ESP32 DEVKIT V1</t>
  </si>
  <si>
    <t>https://www.allnewstep.com/product/1465/esp32-doit-nodemcu-esp32-devkit-v1-esp-32s-nodemcu-esp-wroom-32-wi-fi-and-bluetooth-dual-core-esp-32</t>
  </si>
  <si>
    <t>Buzzer LED 22mm. บัซเซอร์ หลอดไฟสัญญาณเสียง AD16-22SM</t>
  </si>
  <si>
    <t>https://www.smartpstore.com/product/1390</t>
  </si>
  <si>
    <t>Glink รุ่น GLINK06 Lan Cable สายแลน Cat6  Gigabit 1000M UTP Cable 20 เมตร</t>
  </si>
  <si>
    <t>ชุด</t>
  </si>
  <si>
    <t>https://www.lazada.co.th//products/i3397321650-s12556391974.html?spm=a2o42.cart.0.0.119524a6ELKyFI&amp;urlFlag=true</t>
  </si>
  <si>
    <t>MAM-safety | ชุดเสื้อกั๊กและหมวกนิรภัยสะท้อนแสง</t>
  </si>
  <si>
    <t>https://www.lazada.co.th/products/mam-safety-i16049186753-s126241431878.html?</t>
  </si>
  <si>
    <t>Google Colab Pro (ค่าสมัครสมาชิกรายเดือนสำหรับ Train โมเดล)</t>
  </si>
  <si>
    <t>เดือน</t>
  </si>
  <si>
    <t>https://colab.research.google.com/signup?utm_source=footer&amp;utm_medium=link&amp;utm_campaign=footer_links&amp;hl=th</t>
  </si>
  <si>
    <t>รวมเป็นเงิน</t>
  </si>
  <si>
    <t>ภาษีมูลค่าเพิ่ม (VAT 7%)</t>
  </si>
  <si>
    <t>รวมเป็นเงินทั้งสิ้น</t>
  </si>
  <si>
    <t>หมายเหตุ</t>
  </si>
  <si>
    <t>ไม่มี Edge device (Jetson) และไม่ซื้อ IP Camera ใหม่ โดยใช้โน้ตบุ๊ก/PC ที่มีอยู่แล้วเป็นเครื่องประมวลผลหลัก และใช้ Webcam แทนกล้อง IP ในการพัฒนา/ทดสอบ                                                                                (ควรมี GPU NVIDIA อย่างน้อย GTX 1650 ขึ้นไปเพื่อรันโมเดลได้ลื่น)</t>
  </si>
  <si>
    <t>หากต้องเชื่อมต่อกับกล้องวงจรปิดจริงของโรงงานตอน demoสามารถขอสิทธิ์เข้าถึงRTSP stream จากกล้องที่โรงงานมีอยู่แล้วแทนการซื้อกล้องใหม่</t>
  </si>
  <si>
    <t>Google Colab Pro ใช้สำหรับ train โมเดล AI (Face Recognition, PPE Detection) แทนการซื้อ GPU แรงเพิ่ม ประมาณการใช้งาน 2 เดือนช่วง train/ทดลองโมเดล</t>
  </si>
  <si>
    <t>ข้อจำกัด: ระบบจะไม่สามารถสาธิตการรันบน Edge device แบบ real-time ได้ในตัวมันเอง หากต้องการเน้นจุดขายด้าน Edge Computing แนะนำพิจารณางบแบบเต็มแทน</t>
  </si>
  <si>
    <t>IP Camera รองรับ RTSP  (HIKVISION รุ่น DS-2CD2T46G2-ISU/SL , 4MP, IR Night Vision)</t>
  </si>
  <si>
    <t>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</t>
  </si>
  <si>
    <t>8 TB HDD CCTV SEAGATE SKYHAWK AI (7200RPM, 256MB, SATA-3, ST8000VE001)</t>
  </si>
  <si>
    <t>https://www.advice.co.th/product/hard-disk-for-cctv/hard-disk-cctv-surveillance-/8-tb-hdd-cctv-seagate-skyhawk-ai-7200rpm-256mb-sata-3-st8000ve001-</t>
  </si>
  <si>
    <t>SWITCH (สวิตช์) TL-SG108PE TP-Link 8-Port Gigabit Easy Smart Switch with 4-Port PoE+</t>
  </si>
  <si>
    <t>https://www.kstsystem.co.th/product/TL-SG108PE-TP-Link-8-Port-Gigabit-Easy-Smart-Switch-with-4-Port-PoE</t>
  </si>
  <si>
    <t>"ไม่สามารถ" ตรวจจับใบหน้า (Face Recognition), อ่านป้ายทะเบียน (ALPR) หรือแยกยี่ห้อรถ/หมวก/รองเท้าได้ด้วยตัวเอง ต้องพึ่งพาการดึงสตรีม RTSP ไปประมวลผลบนคอมพิวเตอร์/โน้ตบุ๊กภายนอก หรือส่งขึ้น Cloud (Google Colab) เท่านั้น</t>
  </si>
  <si>
    <t>หากเลือกรันโมเดล AI บน Cloud การอัปโหลดภาพวิดีโอ 4MP จากกล้อง 3 ตัวตลอดเวลา จะกินแบนด์วิดท์มหาศาลและอาจเกิดความหน่วง (Latency)                                 ทำให้การแจ้งเตือนเมื่อพบคนไม่ใส่หมวกล่าช้าไปหลายวินาที</t>
  </si>
  <si>
    <t>หากอินเทอร์เน็ตหลุด โน้ตบุ๊กดับ หรือ Cloud หมดอายุ ระบบ AI ประมวลผลขั้นสูงและ Dashboard จะหยุดทำงานทั้งหมด                                                                                                   (แต่กล้องจะยังคงบันทึกภาพลง NVR หรือ SD Card ภายในได้ตามปกติ)</t>
  </si>
  <si>
    <t>NVIDIA Jetson Orin Nano Super Developer Kit (หน่วยประมวลผล AI หลัก, 67 TOPS, RAM 8GB)</t>
  </si>
  <si>
    <t>https://th.cytron.io/p-nvidia-jetson-orin-nano-8gb-dev-kit?srsltid=AfmBOormnsr7FhIoFiD3wXv5_WEA7uhD6OoERZieCEP-LqPyWoqKSyLm</t>
  </si>
  <si>
    <t>IP Camera รองรับ RTSP                                                                                        (HIKVISION รุ่น DS-2CD2T46G2-ISU/SL , 4MP, IR Night Vision)</t>
  </si>
  <si>
    <t>128GB MakerDisk MicroSD with JetPack for Jetson Orin Nano Dev Kit</t>
  </si>
  <si>
    <t>https://th.cytron.io/p-128gb-microsd-with-jetpack-for-jetson-orin-nano?srsltid=AfmBOorX6aYo-ZXFBiY7Vaa66EwgfUfj4CmCZCpg2iRLrdqhnZgJFP-f</t>
  </si>
  <si>
    <t>กล้อง IP Camera) จำนวน 3 ตัว ใช้สำหรับติดตั้งทดสอบที่จุดทางเข้า-ออกหลักและจุดสาธิตในงานสอบ                หากโรงงานอนุญาตให้เชื่อมต่อกล้องวงจรปิดเดิมได้ อาจลดจำนวนที่ต้องซื้อเพิ่มลงได้</t>
  </si>
  <si>
    <t>ยังไม่รวมค่าใช้จ่ายส่วน Cloud/Server (ถ้าเลือก deploy บน cloud แทนหรือเสริมจาก edge device)                 และค่าดำเนินการอื่น ๆ ที่อาจเกิดขึ้นระหว่างพัฒนา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</si>
</sst>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name val="Tahoma"/>
    </font>
    <font>
      <b/>
      <sz val="11"/>
      <color rgb="FFFFFFFF"/>
      <name val="Tahoma"/>
      <family val="2"/>
    </font>
    <font>
      <u/>
      <sz val="11"/>
      <color theme="10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4" fontId="0" fillId="0" borderId="6" xfId="0" applyNumberFormat="1" applyBorder="1" applyAlignment="1">
      <alignment horizontal="right" vertical="center"/>
    </xf>
    <xf numFmtId="4" fontId="2" fillId="0" borderId="1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" fontId="0" fillId="0" borderId="5" xfId="0" applyNumberFormat="1" applyBorder="1" applyAlignment="1">
      <alignment horizontal="right" vertical="center"/>
    </xf>
    <xf numFmtId="0" fontId="0" fillId="0" borderId="15" xfId="0" applyBorder="1"/>
    <xf numFmtId="0" fontId="0" fillId="0" borderId="0" xfId="0" applyAlignment="1">
      <alignment vertical="center"/>
    </xf>
    <xf numFmtId="4" fontId="6" fillId="0" borderId="5" xfId="1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4" fontId="0" fillId="0" borderId="16" xfId="0" applyNumberFormat="1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4" fillId="0" borderId="0" xfId="1" applyBorder="1" applyAlignment="1">
      <alignment horizontal="left"/>
    </xf>
    <xf numFmtId="0" fontId="0" fillId="0" borderId="0" xfId="0" applyAlignment="1">
      <alignment horizontal="left"/>
    </xf>
    <xf numFmtId="0" fontId="4" fillId="0" borderId="14" xfId="1" applyBorder="1" applyAlignment="1">
      <alignment horizontal="left"/>
    </xf>
    <xf numFmtId="0" fontId="4" fillId="0" borderId="8" xfId="1" applyBorder="1" applyAlignment="1">
      <alignment horizontal="left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4" fillId="0" borderId="8" xfId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0" borderId="0" xfId="1" applyAlignment="1">
      <alignment horizontal="left"/>
    </xf>
    <xf numFmtId="0" fontId="4" fillId="0" borderId="8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nn.in.th/th/p/logitech-webcam-c270-097855070753_wd15qz" TargetMode="External"/><Relationship Id="rId3" Type="http://schemas.openxmlformats.org/officeDocument/2006/relationships/hyperlink" Target="https://www.bnn.in.th/th/p/network/lan-and-switch-hub/switch-hub/tp-link-tl-sg108-8-port-101001000mbps-desktop-switch-6935364021153-15_zv2xkr?ref=category" TargetMode="External"/><Relationship Id="rId7" Type="http://schemas.openxmlformats.org/officeDocument/2006/relationships/hyperlink" Target="https://www.lazada.co.th/products/hot-usb-flash-drive-dt101-micro-sd-i5818201519-s24773809626.html?" TargetMode="External"/><Relationship Id="rId2" Type="http://schemas.openxmlformats.org/officeDocument/2006/relationships/hyperlink" Target="https://www.lazada.co.th/products/mam-safety-i16049186753-s126241431878.html?" TargetMode="External"/><Relationship Id="rId1" Type="http://schemas.openxmlformats.org/officeDocument/2006/relationships/hyperlink" Target="https://www.smartpstore.com/product/1390" TargetMode="External"/><Relationship Id="rId6" Type="http://schemas.openxmlformats.org/officeDocument/2006/relationships/hyperlink" Target="https://shopee.co.th/product/395615558/52906716490?gads_t_sig=gqRjZGVrxHCFomtpsTE0MjUxOnRzc19zZGtfa2V5omt20QABpGFsZ2_SAAAAZKNkZWvAomN0xEAAAAAM_NxfHGgeczprZR4Q8tPoOfvwhbtN63JlB369xGJA1mbqBWuW2sVWxQjSJT_xT_mbG0_W5kumedB_GGTjqmNpcGhlcnRleHTEcQAAAAwP5rvfLa3BSbJmuMCJrWLfa-nSl5bysyBnizs200KHEFvM8xsXAF9zkVt326GAcURdox0GFui8awMtrG0jcPzE8vTcArxf0L_okEqAqbU_8irwIiI81i7vYy5WNbd-sz1NzZqtGL2v64OIWEiA&amp;gad_source=1&amp;gad_campaignid=23294779400&amp;gbraid=0AAAAADPpYO2yKw-sttBJ9VdTftu6WJRq3&amp;gclid=Cj0KCQjwjvfSBhDpARIsAEiOpSt4z6f7VhNuQW6NsOm0DitQZezr_6fZBKZI84ynut5zagWDj_6kVJoaAqlyEALw_wcB" TargetMode="External"/><Relationship Id="rId5" Type="http://schemas.openxmlformats.org/officeDocument/2006/relationships/hyperlink" Target="https://www.allnewstep.com/product/1465/esp32-doit-nodemcu-esp32-devkit-v1-esp-32s-nodemcu-esp-wroom-32-wi-fi-and-bluetooth-dual-core-esp-32" TargetMode="External"/><Relationship Id="rId4" Type="http://schemas.openxmlformats.org/officeDocument/2006/relationships/hyperlink" Target="https://www.lazada.co.th/products/i3397321650-s12556391974.html?spm=a2o42.cart.0.0.119524a6ELKyFI&amp;urlFlag=true" TargetMode="External"/><Relationship Id="rId9" Type="http://schemas.openxmlformats.org/officeDocument/2006/relationships/hyperlink" Target="https://colab.research.google.com/signup?utm_source=footer&amp;utm_medium=link&amp;utm_campaign=footer_links&amp;hl=th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ada.co.th/products/mam-safety-i16049186753-s126241431878.html?" TargetMode="External"/><Relationship Id="rId3" Type="http://schemas.openxmlformats.org/officeDocument/2006/relationships/hyperlink" Target="https://th.cytron.io/p-128gb-microsd-with-jetpack-for-jetson-orin-nano?srsltid=AfmBOorX6aYo-ZXFBiY7Vaa66EwgfUfj4CmCZCpg2iRLrdqhnZgJFP-f" TargetMode="External"/><Relationship Id="rId7" Type="http://schemas.openxmlformats.org/officeDocument/2006/relationships/hyperlink" Target="https://www.lazada.co.th/products/i3397321650-s12556391974.html?spm=a2o42.cart.0.0.119524a6ELKyFI&amp;urlFlag=true" TargetMode="External"/><Relationship Id="rId2" Type="http://schemas.openxmlformats.org/officeDocument/2006/relationships/hyperlink" Target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TargetMode="External"/><Relationship Id="rId1" Type="http://schemas.openxmlformats.org/officeDocument/2006/relationships/hyperlink" Target="https://th.cytron.io/p-nvidia-jetson-orin-nano-8gb-dev-kit?srsltid=AfmBOormnsr7FhIoFiD3wXv5_WEA7uhD6OoERZieCEP-LqPyWoqKSyLm" TargetMode="External"/><Relationship Id="rId6" Type="http://schemas.openxmlformats.org/officeDocument/2006/relationships/hyperlink" Target="https://www.kstsystem.co.th/product/TL-SG108PE-TP-Link-8-Port-Gigabit-Easy-Smart-Switch-with-4-Port-PoE" TargetMode="External"/><Relationship Id="rId5" Type="http://schemas.openxmlformats.org/officeDocument/2006/relationships/hyperlink" Target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TargetMode="External"/><Relationship Id="rId4" Type="http://schemas.openxmlformats.org/officeDocument/2006/relationships/hyperlink" Target="https://www.advice.co.th/product/hard-disk-for-cctv/hard-disk-cctv-surveillance-/8-tb-hdd-cctv-seagate-skyhawk-ai-7200rpm-256mb-sata-3-st8000ve001-" TargetMode="External"/><Relationship Id="rId9" Type="http://schemas.openxmlformats.org/officeDocument/2006/relationships/hyperlink" Target="https://colab.research.google.com/signup?utm_source=footer&amp;utm_medium=link&amp;utm_campaign=footer_links&amp;hl=t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ada.co.th/products/i3397321650-s12556391974.html?spm=a2o42.cart.0.0.119524a6ELKyFI&amp;urlFlag=true" TargetMode="External"/><Relationship Id="rId3" Type="http://schemas.openxmlformats.org/officeDocument/2006/relationships/hyperlink" Target="https://th.cytron.io/p-128gb-microsd-with-jetpack-for-jetson-orin-nano?srsltid=AfmBOorX6aYo-ZXFBiY7Vaa66EwgfUfj4CmCZCpg2iRLrdqhnZgJFP-f" TargetMode="External"/><Relationship Id="rId7" Type="http://schemas.openxmlformats.org/officeDocument/2006/relationships/hyperlink" Target="https://www.lazada.co.th/products/mam-safety-i16049186753-s126241431878.html?" TargetMode="External"/><Relationship Id="rId12" Type="http://schemas.openxmlformats.org/officeDocument/2006/relationships/hyperlink" Target="https://www.kstsystem.co.th/product/TL-SG108PE-TP-Link-8-Port-Gigabit-Easy-Smart-Switch-with-4-Port-PoE" TargetMode="External"/><Relationship Id="rId2" Type="http://schemas.openxmlformats.org/officeDocument/2006/relationships/hyperlink" Target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TargetMode="External"/><Relationship Id="rId1" Type="http://schemas.openxmlformats.org/officeDocument/2006/relationships/hyperlink" Target="https://th.cytron.io/p-nvidia-jetson-orin-nano-8gb-dev-kit?srsltid=AfmBOormnsr7FhIoFiD3wXv5_WEA7uhD6OoERZieCEP-LqPyWoqKSyLm" TargetMode="External"/><Relationship Id="rId6" Type="http://schemas.openxmlformats.org/officeDocument/2006/relationships/hyperlink" Target="https://www.smartpstore.com/product/1390" TargetMode="External"/><Relationship Id="rId11" Type="http://schemas.openxmlformats.org/officeDocument/2006/relationships/hyperlink" Target="https://th.cytron.io/p-128gb-microsd-with-jetpack-for-jetson-orin-nano?srsltid=AfmBOorX6aYo-ZXFBiY7Vaa66EwgfUfj4CmCZCpg2iRLrdqhnZgJFP-f" TargetMode="External"/><Relationship Id="rId5" Type="http://schemas.openxmlformats.org/officeDocument/2006/relationships/hyperlink" Target="https://www.allnewstep.com/product/1465/esp32-doit-nodemcu-esp32-devkit-v1-esp-32s-nodemcu-esp-wroom-32-wi-fi-and-bluetooth-dual-core-esp-32" TargetMode="External"/><Relationship Id="rId10" Type="http://schemas.openxmlformats.org/officeDocument/2006/relationships/hyperlink" Target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TargetMode="External"/><Relationship Id="rId4" Type="http://schemas.openxmlformats.org/officeDocument/2006/relationships/hyperlink" Target="https://www.advice.co.th/product/ssd-solid-state-drive-/ssd-m-2-pcie-nvme-256-gb/256-gb-ssd-m-2-pcie-3-0-klevv-cras-c715-k256gm2sp0-c7t-nvme-m-2-2281" TargetMode="External"/><Relationship Id="rId9" Type="http://schemas.openxmlformats.org/officeDocument/2006/relationships/hyperlink" Target="https://www.advice.co.th/product/hard-disk-for-cctv/hard-disk-cctv-surveillance-/8-tb-hdd-cctv-seagate-skyhawk-ai-7200rpm-256mb-sata-3-st8000ve001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D815-6995-44E6-AFCA-21BA60A94770}">
  <dimension ref="A1:R19"/>
  <sheetViews>
    <sheetView tabSelected="1" workbookViewId="0">
      <selection activeCell="B10" sqref="B10:R10"/>
    </sheetView>
  </sheetViews>
  <sheetFormatPr defaultRowHeight="14.25"/>
  <cols>
    <col min="2" max="2" width="60.125" customWidth="1"/>
    <col min="5" max="5" width="12.75" customWidth="1"/>
    <col min="6" max="6" width="17" customWidth="1"/>
    <col min="7" max="7" width="13.5" customWidth="1"/>
  </cols>
  <sheetData>
    <row r="1" spans="1:18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</row>
    <row r="2" spans="1:18" ht="33" customHeight="1">
      <c r="A2" s="2">
        <v>1</v>
      </c>
      <c r="B2" s="3" t="s">
        <v>7</v>
      </c>
      <c r="C2" s="2">
        <v>2</v>
      </c>
      <c r="D2" s="2" t="s">
        <v>8</v>
      </c>
      <c r="E2" s="4">
        <v>959</v>
      </c>
      <c r="F2" s="4">
        <f t="shared" ref="F2:F8" si="0">C2*E2</f>
        <v>1918</v>
      </c>
      <c r="G2" s="32" t="s">
        <v>9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3" customHeight="1">
      <c r="A3" s="2">
        <v>2</v>
      </c>
      <c r="B3" s="3" t="s">
        <v>10</v>
      </c>
      <c r="C3" s="2">
        <v>1</v>
      </c>
      <c r="D3" s="2" t="s">
        <v>11</v>
      </c>
      <c r="E3" s="4">
        <v>110</v>
      </c>
      <c r="F3" s="4">
        <f t="shared" si="0"/>
        <v>110</v>
      </c>
      <c r="G3" s="32" t="s">
        <v>12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33" customHeight="1">
      <c r="A4" s="2">
        <v>3</v>
      </c>
      <c r="B4" s="3" t="s">
        <v>13</v>
      </c>
      <c r="C4" s="2">
        <v>1</v>
      </c>
      <c r="D4" s="2" t="s">
        <v>8</v>
      </c>
      <c r="E4" s="4">
        <v>512</v>
      </c>
      <c r="F4" s="4">
        <f>C4*E4</f>
        <v>512</v>
      </c>
      <c r="G4" s="32" t="s">
        <v>14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33" customHeight="1">
      <c r="A5" s="2">
        <v>4</v>
      </c>
      <c r="B5" s="9" t="s">
        <v>15</v>
      </c>
      <c r="C5" s="17">
        <v>1</v>
      </c>
      <c r="D5" s="17" t="s">
        <v>8</v>
      </c>
      <c r="E5" s="18">
        <v>850</v>
      </c>
      <c r="F5" s="18">
        <f>C5*E5</f>
        <v>850</v>
      </c>
      <c r="G5" s="29" t="s">
        <v>16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3" customHeight="1">
      <c r="A6" s="2">
        <v>5</v>
      </c>
      <c r="B6" s="9" t="s">
        <v>17</v>
      </c>
      <c r="C6" s="17">
        <v>2</v>
      </c>
      <c r="D6" s="17" t="s">
        <v>8</v>
      </c>
      <c r="E6" s="18">
        <v>170</v>
      </c>
      <c r="F6" s="18">
        <f>C6*E6</f>
        <v>340</v>
      </c>
      <c r="G6" s="29" t="s">
        <v>18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ht="33" customHeight="1">
      <c r="A7" s="2">
        <v>6</v>
      </c>
      <c r="B7" s="9" t="s">
        <v>19</v>
      </c>
      <c r="C7" s="17">
        <v>3</v>
      </c>
      <c r="D7" s="17" t="s">
        <v>8</v>
      </c>
      <c r="E7" s="18">
        <v>35</v>
      </c>
      <c r="F7" s="18">
        <f>C7*E7</f>
        <v>105</v>
      </c>
      <c r="G7" s="29" t="s">
        <v>20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ht="33" customHeight="1">
      <c r="A8" s="2">
        <v>7</v>
      </c>
      <c r="B8" s="9" t="s">
        <v>21</v>
      </c>
      <c r="C8" s="17">
        <v>1</v>
      </c>
      <c r="D8" s="17" t="s">
        <v>22</v>
      </c>
      <c r="E8" s="18">
        <v>129</v>
      </c>
      <c r="F8" s="18">
        <f>C8*E8</f>
        <v>129</v>
      </c>
      <c r="G8" s="29" t="s">
        <v>23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8" ht="33" customHeight="1">
      <c r="A9" s="2">
        <v>8</v>
      </c>
      <c r="B9" s="9" t="s">
        <v>24</v>
      </c>
      <c r="C9" s="17">
        <v>1</v>
      </c>
      <c r="D9" s="17" t="s">
        <v>22</v>
      </c>
      <c r="E9" s="18">
        <v>1200</v>
      </c>
      <c r="F9" s="18">
        <f>C9*E9</f>
        <v>1200</v>
      </c>
      <c r="G9" s="31" t="s">
        <v>25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18" ht="33" customHeight="1">
      <c r="A10" s="2">
        <v>9</v>
      </c>
      <c r="B10" s="3" t="s">
        <v>26</v>
      </c>
      <c r="C10" s="2">
        <v>2</v>
      </c>
      <c r="D10" s="2" t="s">
        <v>27</v>
      </c>
      <c r="E10" s="4">
        <v>350</v>
      </c>
      <c r="F10" s="4">
        <f>C10*E10</f>
        <v>700</v>
      </c>
      <c r="G10" s="32" t="s">
        <v>28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ht="22.5" customHeight="1">
      <c r="A11" s="33" t="s">
        <v>29</v>
      </c>
      <c r="B11" s="34"/>
      <c r="C11" s="34"/>
      <c r="D11" s="34"/>
      <c r="E11" s="35"/>
      <c r="F11" s="5">
        <f>SUM(F2:F10)</f>
        <v>5864</v>
      </c>
    </row>
    <row r="12" spans="1:18" ht="22.5" customHeight="1">
      <c r="A12" s="33" t="s">
        <v>30</v>
      </c>
      <c r="B12" s="34"/>
      <c r="C12" s="34"/>
      <c r="D12" s="34"/>
      <c r="E12" s="35"/>
      <c r="F12" s="5">
        <f>F11*0.07</f>
        <v>410.48</v>
      </c>
    </row>
    <row r="13" spans="1:18" ht="22.5" customHeight="1">
      <c r="A13" s="33" t="s">
        <v>31</v>
      </c>
      <c r="B13" s="47"/>
      <c r="C13" s="47"/>
      <c r="D13" s="47"/>
      <c r="E13" s="47"/>
      <c r="F13" s="5">
        <f>F11+F12</f>
        <v>6274.48</v>
      </c>
    </row>
    <row r="14" spans="1:18">
      <c r="A14" s="19"/>
    </row>
    <row r="15" spans="1:18">
      <c r="A15" s="27" t="s">
        <v>32</v>
      </c>
      <c r="B15" s="27"/>
      <c r="C15" s="27"/>
      <c r="D15" s="20"/>
      <c r="E15" s="20"/>
      <c r="F15" s="20"/>
    </row>
    <row r="16" spans="1:18" ht="56.25" customHeight="1">
      <c r="A16" s="8">
        <v>1</v>
      </c>
      <c r="B16" s="28" t="s">
        <v>33</v>
      </c>
      <c r="C16" s="28"/>
      <c r="D16" s="7"/>
      <c r="E16" s="7"/>
      <c r="F16" s="7"/>
    </row>
    <row r="17" spans="1:6" ht="56.25" customHeight="1">
      <c r="A17" s="8">
        <v>2</v>
      </c>
      <c r="B17" s="28" t="s">
        <v>34</v>
      </c>
      <c r="C17" s="28"/>
      <c r="D17" s="20"/>
      <c r="E17" s="20"/>
      <c r="F17" s="20"/>
    </row>
    <row r="18" spans="1:6" ht="56.25" customHeight="1">
      <c r="A18" s="8">
        <v>3</v>
      </c>
      <c r="B18" s="28" t="s">
        <v>35</v>
      </c>
      <c r="C18" s="28"/>
    </row>
    <row r="19" spans="1:6" ht="56.25" customHeight="1">
      <c r="A19" s="8">
        <v>4</v>
      </c>
      <c r="B19" s="28" t="s">
        <v>36</v>
      </c>
      <c r="C19" s="28"/>
    </row>
  </sheetData>
  <mergeCells count="17">
    <mergeCell ref="A13:E13"/>
    <mergeCell ref="G2:R2"/>
    <mergeCell ref="G3:R3"/>
    <mergeCell ref="G4:R4"/>
    <mergeCell ref="G5:R5"/>
    <mergeCell ref="G6:R6"/>
    <mergeCell ref="G7:R7"/>
    <mergeCell ref="G8:R8"/>
    <mergeCell ref="G9:R9"/>
    <mergeCell ref="G10:R10"/>
    <mergeCell ref="A11:E11"/>
    <mergeCell ref="A12:E12"/>
    <mergeCell ref="A15:C15"/>
    <mergeCell ref="B16:C16"/>
    <mergeCell ref="B17:C17"/>
    <mergeCell ref="B18:C18"/>
    <mergeCell ref="B19:C19"/>
  </mergeCells>
  <hyperlinks>
    <hyperlink ref="G7" r:id="rId1" xr:uid="{748CEF4D-643A-4585-8B6F-D543052EA332}"/>
    <hyperlink ref="G9" r:id="rId2" xr:uid="{324E1F4E-551A-449C-8CC8-1CB9DA0A0948}"/>
    <hyperlink ref="G5" r:id="rId3" xr:uid="{DCA343B2-F42A-4ADC-9141-DAAE54F90CCF}"/>
    <hyperlink ref="G8" r:id="rId4" xr:uid="{13A6E22B-F22A-461D-BA4A-BEC7041D8D7A}"/>
    <hyperlink ref="G6" r:id="rId5" xr:uid="{9B6E5AA0-ED0C-43CF-9E45-061136879B6C}"/>
    <hyperlink ref="G4" r:id="rId6" display="https://shopee.co.th/product/395615558/52906716490?gads_t_sig=gqRjZGVrxHCFomtpsTE0MjUxOnRzc19zZGtfa2V5omt20QABpGFsZ2_SAAAAZKNkZWvAomN0xEAAAAAM_NxfHGgeczprZR4Q8tPoOfvwhbtN63JlB369xGJA1mbqBWuW2sVWxQjSJT_xT_mbG0_W5kumedB_GGTjqmNpcGhlcnRleHTEcQAAAAwP5rvfLa3BSbJmuMCJrWLfa-nSl5bysyBnizs200KHEFvM8xsXAF9zkVt326GAcURdox0GFui8awMtrG0jcPzE8vTcArxf0L_okEqAqbU_8irwIiI81i7vYy5WNbd-sz1NzZqtGL2v64OIWEiA&amp;gad_source=1&amp;gad_campaignid=23294779400&amp;gbraid=0AAAAADPpYO2yKw-sttBJ9VdTftu6WJRq3&amp;gclid=Cj0KCQjwjvfSBhDpARIsAEiOpSt4z6f7VhNuQW6NsOm0DitQZezr_6fZBKZI84ynut5zagWDj_6kVJoaAqlyEALw_wcB" xr:uid="{D5EAC62A-FD54-461D-B202-3F1E0DF2D2E0}"/>
    <hyperlink ref="G3" r:id="rId7" xr:uid="{EEF7DCBD-0DC7-4B32-83B5-C0B5A6DED06A}"/>
    <hyperlink ref="G2" r:id="rId8" xr:uid="{5C020327-064B-4B77-BB5A-99370D062CA9}"/>
    <hyperlink ref="G10" r:id="rId9" xr:uid="{332407AB-E327-4248-8C1D-7AEEE4D2B9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32A2-ADF6-4BBD-BB6F-96E77DBDD945}">
  <dimension ref="A1:R19"/>
  <sheetViews>
    <sheetView workbookViewId="0">
      <selection activeCell="D17" sqref="D17"/>
    </sheetView>
  </sheetViews>
  <sheetFormatPr defaultRowHeight="14.25"/>
  <cols>
    <col min="2" max="2" width="84.5" customWidth="1"/>
    <col min="3" max="7" width="11.125" customWidth="1"/>
  </cols>
  <sheetData>
    <row r="1" spans="1:18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</row>
    <row r="2" spans="1:18" ht="36.75" customHeight="1">
      <c r="A2" s="2">
        <v>1</v>
      </c>
      <c r="B2" s="3" t="s">
        <v>37</v>
      </c>
      <c r="C2" s="2">
        <v>3</v>
      </c>
      <c r="D2" s="2" t="s">
        <v>8</v>
      </c>
      <c r="E2" s="4">
        <v>4109</v>
      </c>
      <c r="F2" s="4">
        <f t="shared" ref="F2" si="0">C2*E2</f>
        <v>12327</v>
      </c>
      <c r="G2" s="42" t="s">
        <v>38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18" ht="36.75" customHeight="1">
      <c r="A3" s="2">
        <v>2</v>
      </c>
      <c r="B3" s="3" t="s">
        <v>39</v>
      </c>
      <c r="C3" s="2">
        <v>1</v>
      </c>
      <c r="D3" s="2" t="s">
        <v>8</v>
      </c>
      <c r="E3" s="4">
        <v>16730</v>
      </c>
      <c r="F3" s="4">
        <f>C3*E3</f>
        <v>16730</v>
      </c>
      <c r="G3" s="32" t="s">
        <v>40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36.75" customHeight="1">
      <c r="A4" s="2">
        <v>3</v>
      </c>
      <c r="B4" s="12" t="s">
        <v>41</v>
      </c>
      <c r="C4" s="11">
        <v>1</v>
      </c>
      <c r="D4" s="11" t="s">
        <v>8</v>
      </c>
      <c r="E4" s="13">
        <v>1840</v>
      </c>
      <c r="F4" s="13">
        <f t="shared" ref="F4" si="1">C4*E4</f>
        <v>1840</v>
      </c>
      <c r="G4" s="32" t="s">
        <v>42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ht="36.75" customHeight="1">
      <c r="A5" s="15">
        <v>4</v>
      </c>
      <c r="B5" s="9" t="s">
        <v>21</v>
      </c>
      <c r="C5" s="17">
        <v>1</v>
      </c>
      <c r="D5" s="17" t="s">
        <v>22</v>
      </c>
      <c r="E5" s="18">
        <v>129</v>
      </c>
      <c r="F5" s="18">
        <f>C5*E5</f>
        <v>129</v>
      </c>
      <c r="G5" s="29" t="s">
        <v>23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6.75" customHeight="1">
      <c r="A6" s="16">
        <v>5</v>
      </c>
      <c r="B6" s="24" t="s">
        <v>24</v>
      </c>
      <c r="C6" s="25">
        <v>1</v>
      </c>
      <c r="D6" s="25" t="s">
        <v>22</v>
      </c>
      <c r="E6" s="26">
        <v>1200</v>
      </c>
      <c r="F6" s="26">
        <f>C6*E6</f>
        <v>1200</v>
      </c>
      <c r="G6" s="29" t="s">
        <v>25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ht="36.75" customHeight="1">
      <c r="A7" s="22">
        <v>6</v>
      </c>
      <c r="B7" s="3" t="s">
        <v>26</v>
      </c>
      <c r="C7" s="2">
        <v>2</v>
      </c>
      <c r="D7" s="2" t="s">
        <v>27</v>
      </c>
      <c r="E7" s="4">
        <v>350</v>
      </c>
      <c r="F7" s="4">
        <f>C7*E7</f>
        <v>700</v>
      </c>
      <c r="G7" s="29" t="s">
        <v>28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ht="36.75" customHeight="1">
      <c r="A8" s="39" t="s">
        <v>29</v>
      </c>
      <c r="B8" s="40"/>
      <c r="C8" s="40"/>
      <c r="D8" s="40"/>
      <c r="E8" s="41"/>
      <c r="F8" s="14">
        <f ca="1">SUM(F2:F10)</f>
        <v>32226</v>
      </c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8" ht="36.75" customHeight="1">
      <c r="A9" s="33" t="s">
        <v>30</v>
      </c>
      <c r="B9" s="34"/>
      <c r="C9" s="34"/>
      <c r="D9" s="34"/>
      <c r="E9" s="35"/>
      <c r="F9" s="5">
        <f ca="1">F8*0.07</f>
        <v>2255.8200000000002</v>
      </c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 ht="36.75" customHeight="1">
      <c r="A10" s="33" t="s">
        <v>31</v>
      </c>
      <c r="B10" s="34"/>
      <c r="C10" s="34"/>
      <c r="D10" s="34"/>
      <c r="E10" s="35"/>
      <c r="F10" s="5">
        <f ca="1">F8+F9</f>
        <v>34481.82</v>
      </c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ht="36.75" customHeight="1"/>
    <row r="12" spans="1:18" ht="36.75" customHeight="1">
      <c r="A12" s="38" t="s">
        <v>32</v>
      </c>
      <c r="B12" s="38"/>
      <c r="C12" s="38"/>
      <c r="D12" s="38"/>
      <c r="E12" s="38"/>
      <c r="F12" s="38"/>
    </row>
    <row r="13" spans="1:18" ht="36.75" customHeight="1">
      <c r="A13" s="23">
        <v>1</v>
      </c>
      <c r="B13" s="37" t="s">
        <v>43</v>
      </c>
      <c r="C13" s="37"/>
      <c r="D13" s="37"/>
      <c r="E13" s="37"/>
      <c r="F13" s="37"/>
    </row>
    <row r="14" spans="1:18" ht="36.75" customHeight="1">
      <c r="A14" s="22">
        <v>2</v>
      </c>
      <c r="B14" s="36" t="s">
        <v>44</v>
      </c>
      <c r="C14" s="36"/>
      <c r="D14" s="36"/>
      <c r="E14" s="36"/>
      <c r="F14" s="36"/>
    </row>
    <row r="15" spans="1:18" ht="36.75" customHeight="1">
      <c r="A15" s="22">
        <v>3</v>
      </c>
      <c r="B15" s="36" t="s">
        <v>45</v>
      </c>
      <c r="C15" s="36"/>
      <c r="D15" s="36"/>
      <c r="E15" s="36"/>
      <c r="F15" s="36"/>
    </row>
    <row r="16" spans="1:18" ht="36.75" customHeight="1"/>
    <row r="17" ht="36.75" customHeight="1"/>
    <row r="18" ht="54.75" customHeight="1"/>
    <row r="19" ht="54.75" customHeight="1"/>
  </sheetData>
  <mergeCells count="16">
    <mergeCell ref="G7:R7"/>
    <mergeCell ref="G2:R2"/>
    <mergeCell ref="G3:R3"/>
    <mergeCell ref="G4:R4"/>
    <mergeCell ref="G5:R5"/>
    <mergeCell ref="G6:R6"/>
    <mergeCell ref="B15:F15"/>
    <mergeCell ref="B13:F13"/>
    <mergeCell ref="B14:F14"/>
    <mergeCell ref="A12:F12"/>
    <mergeCell ref="G8:R8"/>
    <mergeCell ref="G9:R9"/>
    <mergeCell ref="G10:R10"/>
    <mergeCell ref="A8:E8"/>
    <mergeCell ref="A9:E9"/>
    <mergeCell ref="A10:E10"/>
  </mergeCells>
  <hyperlinks>
    <hyperlink ref="G2" r:id="rId1" xr:uid="{6B97881F-6A83-4F12-A22D-5BA52C9F8648}"/>
    <hyperlink ref="G3" r:id="rId2" display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xr:uid="{7A5FBD6F-8745-40FD-8E83-A017B0A699BE}"/>
    <hyperlink ref="G4" r:id="rId3" xr:uid="{EA4604CD-4439-4BA8-BE57-39BE218EA505}"/>
    <hyperlink ref="G3:R3" r:id="rId4" display="https://www.advice.co.th/product/hard-disk-for-cctv/hard-disk-cctv-surveillance-/8-tb-hdd-cctv-seagate-skyhawk-ai-7200rpm-256mb-sata-3-st8000ve001-" xr:uid="{36F9B1EB-317B-4662-925B-1870C2634536}"/>
    <hyperlink ref="G2:R2" r:id="rId5" display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xr:uid="{CC52361E-D439-4146-978B-DDF66C470C9E}"/>
    <hyperlink ref="G4:R4" r:id="rId6" display="https://www.kstsystem.co.th/product/TL-SG108PE-TP-Link-8-Port-Gigabit-Easy-Smart-Switch-with-4-Port-PoE" xr:uid="{4EDCB834-852B-4F8B-85F0-84A52CB82888}"/>
    <hyperlink ref="G5" r:id="rId7" xr:uid="{A2FCD1FD-4C47-4215-B0A6-2DA92C111809}"/>
    <hyperlink ref="G6" r:id="rId8" xr:uid="{9A5F9F2A-E6C9-4B03-9FAA-1AE67F1850B6}"/>
    <hyperlink ref="G7" r:id="rId9" xr:uid="{57153C81-6D01-47EA-9EA9-ECA79D429D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zoomScale="85" zoomScaleNormal="85" workbookViewId="0">
      <selection activeCell="B15" sqref="B15"/>
    </sheetView>
  </sheetViews>
  <sheetFormatPr defaultRowHeight="14.25"/>
  <cols>
    <col min="1" max="1" width="8" customWidth="1"/>
    <col min="2" max="2" width="75" customWidth="1"/>
    <col min="3" max="4" width="10" customWidth="1"/>
    <col min="5" max="6" width="18" customWidth="1"/>
    <col min="7" max="7" width="1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</row>
    <row r="2" spans="1:18" ht="28.5">
      <c r="A2" s="2">
        <v>1</v>
      </c>
      <c r="B2" s="3" t="s">
        <v>46</v>
      </c>
      <c r="C2" s="2">
        <v>1</v>
      </c>
      <c r="D2" s="2" t="s">
        <v>22</v>
      </c>
      <c r="E2" s="4">
        <v>17400</v>
      </c>
      <c r="F2" s="4">
        <f t="shared" ref="F2:F5" si="0">C2*E2</f>
        <v>17400</v>
      </c>
      <c r="G2" s="45" t="s">
        <v>47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ht="28.5">
      <c r="A3" s="2">
        <v>2</v>
      </c>
      <c r="B3" s="3" t="s">
        <v>48</v>
      </c>
      <c r="C3" s="2">
        <v>3</v>
      </c>
      <c r="D3" s="2" t="s">
        <v>8</v>
      </c>
      <c r="E3" s="4">
        <v>4110</v>
      </c>
      <c r="F3" s="4">
        <f t="shared" si="0"/>
        <v>12330</v>
      </c>
      <c r="G3" s="32" t="s">
        <v>38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>
      <c r="A4" s="2">
        <v>3</v>
      </c>
      <c r="B4" s="12" t="s">
        <v>49</v>
      </c>
      <c r="C4" s="11">
        <v>1</v>
      </c>
      <c r="D4" s="11" t="s">
        <v>11</v>
      </c>
      <c r="E4" s="13">
        <v>1500</v>
      </c>
      <c r="F4" s="13">
        <f t="shared" si="0"/>
        <v>1500</v>
      </c>
      <c r="G4" s="32" t="s">
        <v>50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15">
        <v>4</v>
      </c>
      <c r="B5" s="9" t="s">
        <v>39</v>
      </c>
      <c r="C5" s="17">
        <v>1</v>
      </c>
      <c r="D5" s="17" t="s">
        <v>8</v>
      </c>
      <c r="E5" s="21">
        <v>16370</v>
      </c>
      <c r="F5" s="18">
        <f>C5*E5</f>
        <v>16370</v>
      </c>
      <c r="G5" s="29" t="s">
        <v>40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</row>
    <row r="6" spans="1:18">
      <c r="A6" s="15">
        <v>5</v>
      </c>
      <c r="B6" s="12" t="s">
        <v>41</v>
      </c>
      <c r="C6" s="11">
        <v>1</v>
      </c>
      <c r="D6" s="11" t="s">
        <v>8</v>
      </c>
      <c r="E6" s="13">
        <v>1840</v>
      </c>
      <c r="F6" s="13">
        <f t="shared" ref="F6" si="1">C6*E6</f>
        <v>1840</v>
      </c>
      <c r="G6" s="32" t="s">
        <v>42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spans="1:18">
      <c r="A7" s="15">
        <v>6</v>
      </c>
      <c r="B7" s="9" t="s">
        <v>17</v>
      </c>
      <c r="C7" s="17">
        <v>2</v>
      </c>
      <c r="D7" s="17" t="s">
        <v>8</v>
      </c>
      <c r="E7" s="18">
        <v>170</v>
      </c>
      <c r="F7" s="18">
        <f>C7*E7</f>
        <v>340</v>
      </c>
      <c r="G7" s="29" t="s">
        <v>18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>
      <c r="A8" s="15">
        <v>7</v>
      </c>
      <c r="B8" s="9" t="s">
        <v>19</v>
      </c>
      <c r="C8" s="17">
        <v>3</v>
      </c>
      <c r="D8" s="17" t="s">
        <v>8</v>
      </c>
      <c r="E8" s="18">
        <v>35</v>
      </c>
      <c r="F8" s="18">
        <f>C8*E8</f>
        <v>105</v>
      </c>
      <c r="G8" s="29" t="s">
        <v>20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8">
      <c r="A9" s="15">
        <v>8</v>
      </c>
      <c r="B9" s="9" t="s">
        <v>21</v>
      </c>
      <c r="C9" s="17">
        <v>1</v>
      </c>
      <c r="D9" s="17" t="s">
        <v>22</v>
      </c>
      <c r="E9" s="18">
        <v>129</v>
      </c>
      <c r="F9" s="18">
        <f>C9*E9</f>
        <v>129</v>
      </c>
      <c r="G9" s="29" t="s">
        <v>23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>
      <c r="A10" s="15">
        <v>9</v>
      </c>
      <c r="B10" s="9" t="s">
        <v>24</v>
      </c>
      <c r="C10" s="17">
        <v>1</v>
      </c>
      <c r="D10" s="17" t="s">
        <v>22</v>
      </c>
      <c r="E10" s="18">
        <v>1200</v>
      </c>
      <c r="F10" s="18">
        <f>C10*E10</f>
        <v>1200</v>
      </c>
      <c r="G10" s="29" t="s">
        <v>25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>
      <c r="A11" s="39" t="s">
        <v>29</v>
      </c>
      <c r="B11" s="40"/>
      <c r="C11" s="40"/>
      <c r="D11" s="40"/>
      <c r="E11" s="41"/>
      <c r="F11" s="14">
        <f>SUM(F2:F10)</f>
        <v>51214</v>
      </c>
    </row>
    <row r="12" spans="1:18">
      <c r="A12" s="33" t="s">
        <v>30</v>
      </c>
      <c r="B12" s="34"/>
      <c r="C12" s="34"/>
      <c r="D12" s="34"/>
      <c r="E12" s="35"/>
      <c r="F12" s="5">
        <f>F11*0.07</f>
        <v>3584.9800000000005</v>
      </c>
    </row>
    <row r="13" spans="1:18">
      <c r="A13" s="33" t="s">
        <v>31</v>
      </c>
      <c r="B13" s="34"/>
      <c r="C13" s="34"/>
      <c r="D13" s="34"/>
      <c r="E13" s="35"/>
      <c r="F13" s="5">
        <f>F11+F12</f>
        <v>54798.98</v>
      </c>
    </row>
    <row r="17" spans="1:3" ht="17.25" customHeight="1">
      <c r="A17" s="27" t="s">
        <v>32</v>
      </c>
      <c r="B17" s="27"/>
      <c r="C17" s="27"/>
    </row>
    <row r="18" spans="1:3" ht="36.75" customHeight="1">
      <c r="A18" s="8">
        <v>1</v>
      </c>
      <c r="B18" s="28" t="s">
        <v>51</v>
      </c>
      <c r="C18" s="28"/>
    </row>
    <row r="19" spans="1:3" ht="39" customHeight="1">
      <c r="A19" s="8">
        <v>2</v>
      </c>
      <c r="B19" s="28" t="s">
        <v>52</v>
      </c>
      <c r="C19" s="28"/>
    </row>
    <row r="22" spans="1:3" ht="13.5" customHeight="1"/>
    <row r="23" spans="1:3" ht="14.25" customHeight="1"/>
    <row r="24" spans="1:3">
      <c r="A24" s="6"/>
      <c r="B24" s="7"/>
      <c r="C24" s="7"/>
    </row>
    <row r="25" spans="1:3">
      <c r="A25" s="6"/>
      <c r="B25" s="7"/>
      <c r="C25" s="7"/>
    </row>
  </sheetData>
  <mergeCells count="15">
    <mergeCell ref="A11:E11"/>
    <mergeCell ref="B19:C19"/>
    <mergeCell ref="A12:E12"/>
    <mergeCell ref="G2:R2"/>
    <mergeCell ref="G3:R3"/>
    <mergeCell ref="G4:R4"/>
    <mergeCell ref="G5:R5"/>
    <mergeCell ref="G7:R7"/>
    <mergeCell ref="G8:R8"/>
    <mergeCell ref="G9:R9"/>
    <mergeCell ref="G10:R10"/>
    <mergeCell ref="G6:R6"/>
    <mergeCell ref="A13:E13"/>
    <mergeCell ref="A17:C17"/>
    <mergeCell ref="B18:C18"/>
  </mergeCells>
  <phoneticPr fontId="5" type="noConversion"/>
  <hyperlinks>
    <hyperlink ref="G2" r:id="rId1" xr:uid="{F33276AD-E0BA-4E92-A910-741083279E19}"/>
    <hyperlink ref="G3" r:id="rId2" display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xr:uid="{6C85C9E4-E1D0-4482-A008-5616BEEB343F}"/>
    <hyperlink ref="G4" r:id="rId3" xr:uid="{CD7EA0E9-B4A0-401F-9784-FCAD8B0626A9}"/>
    <hyperlink ref="G5" r:id="rId4" xr:uid="{DCDFDF94-4B4B-4010-8E3A-AFC67A0C43ED}"/>
    <hyperlink ref="G7" r:id="rId5" xr:uid="{924DD2CA-5F2E-4601-AD5F-CFB1EC830329}"/>
    <hyperlink ref="G8" r:id="rId6" xr:uid="{67629497-9325-40F0-A67E-DAFEFEC81989}"/>
    <hyperlink ref="G10" r:id="rId7" xr:uid="{8413596E-8ED3-40B1-93CB-112807837764}"/>
    <hyperlink ref="G9" r:id="rId8" xr:uid="{54BAF1E9-D35C-4E54-A52C-9CA30C5DCBE3}"/>
    <hyperlink ref="G5:R5" r:id="rId9" display="https://www.advice.co.th/product/hard-disk-for-cctv/hard-disk-cctv-surveillance-/8-tb-hdd-cctv-seagate-skyhawk-ai-7200rpm-256mb-sata-3-st8000ve001-" xr:uid="{68CA3D4F-ACDD-4D03-8A63-F60081C88D11}"/>
    <hyperlink ref="G3:R3" r:id="rId10" display="https://www.hikvisioncctv.shop/product/%E0%B8%81%E0%B8%A5%E0%B9%89%E0%B8%AD%E0%B8%87%E0%B8%A7%E0%B8%87%E0%B8%88%E0%B8%A3%E0%B8%9B%E0%B8%B4%E0%B8%94-hikvision-%E0%B8%A3%E0%B8%B8%E0%B9%88%E0%B8%99-ds-2cd2t46g2-isu-sl2-8mm-4-mp-acusense-strobe-light-and-audible-warning-/11000656382003965" xr:uid="{9C651DCD-706F-42FD-A294-01E98561D1AB}"/>
    <hyperlink ref="G6" r:id="rId11" xr:uid="{E7378A4E-945C-4C0B-9A22-0066AD8D7A9C}"/>
    <hyperlink ref="G6:R6" r:id="rId12" display="https://www.kstsystem.co.th/product/TL-SG108PE-TP-Link-8-Port-Gigabit-Easy-Smart-Switch-with-4-Port-PoE" xr:uid="{7E8A9832-AC63-414E-90CD-11A935F271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ศุภกร  โนนทอง</cp:lastModifiedBy>
  <cp:revision/>
  <dcterms:created xsi:type="dcterms:W3CDTF">2026-07-20T12:12:46Z</dcterms:created>
  <dcterms:modified xsi:type="dcterms:W3CDTF">2026-08-03T12:52:16Z</dcterms:modified>
  <cp:category/>
  <cp:contentStatus/>
</cp:coreProperties>
</file>